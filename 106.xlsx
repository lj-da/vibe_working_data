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<sst xmlns="http://schemas.openxmlformats.org/spreadsheetml/2006/main" count="38" uniqueCount="32">
  <si>
    <t>识别性别、年龄、生日</t>
  </si>
  <si>
    <t>姓名</t>
  </si>
  <si>
    <t>证件号</t>
  </si>
  <si>
    <t>性别</t>
  </si>
  <si>
    <t>年龄</t>
  </si>
  <si>
    <t>生日</t>
  </si>
  <si>
    <t>张三</t>
  </si>
  <si>
    <t>111222198512052021</t>
  </si>
  <si>
    <t>李四</t>
  </si>
  <si>
    <t>22255519980205604X</t>
  </si>
  <si>
    <t>王麻子</t>
  </si>
  <si>
    <t>111555199512245898</t>
  </si>
  <si>
    <t>赵五</t>
  </si>
  <si>
    <t>333111200108056523</t>
  </si>
  <si>
    <t>钱六</t>
  </si>
  <si>
    <t>555444199606153254</t>
  </si>
  <si>
    <t>郑七子</t>
  </si>
  <si>
    <t>333444199407085874</t>
  </si>
  <si>
    <t>张同</t>
  </si>
  <si>
    <t>111888199606085485</t>
  </si>
  <si>
    <t>史珍香</t>
  </si>
  <si>
    <t>555111200409053268</t>
  </si>
  <si>
    <t>弼马温</t>
  </si>
  <si>
    <t>111222198512052062</t>
  </si>
  <si>
    <t>赵云</t>
  </si>
  <si>
    <t>222555199802056042</t>
  </si>
  <si>
    <t>孙权</t>
  </si>
  <si>
    <t>周瑜</t>
  </si>
  <si>
    <t>刘备</t>
  </si>
  <si>
    <t>张飞</t>
  </si>
  <si>
    <t>关羽</t>
  </si>
  <si>
    <t>曹操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</si>
</sst>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微软雅黑"/>
      <charset val="134"/>
    </font>
    <font>
      <sz val="10"/>
      <color rgb="FF000000"/>
      <name val="微软雅黑"/>
      <charset val="204"/>
    </font>
    <font>
      <sz val="10"/>
      <name val="微软雅黑"/>
      <charset val="134"/>
    </font>
    <font>
      <sz val="10"/>
      <color rgb="FF20404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FE5C1"/>
        <bgColor indexed="64"/>
      </patternFill>
    </fill>
    <fill>
      <patternFill patternType="solid">
        <fgColor rgb="FFBDD0E7"/>
        <bgColor indexed="64"/>
      </patternFill>
    </fill>
    <fill>
      <patternFill patternType="solid">
        <fgColor rgb="FFBBD0E9"/>
        <bgColor indexed="64"/>
      </patternFill>
    </fill>
    <fill>
      <patternFill patternType="solid">
        <fgColor rgb="FFBCD0E6"/>
        <bgColor indexed="64"/>
      </patternFill>
    </fill>
    <fill>
      <patternFill patternType="solid">
        <fgColor rgb="FFBBD1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top"/>
    </xf>
    <xf numFmtId="0" fontId="1" fillId="6" borderId="1" xfId="0" applyNumberFormat="1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3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C3" sqref="C3"/>
    </sheetView>
  </sheetViews>
  <sheetFormatPr defaultColWidth="9" defaultRowHeight="13.5" outlineLevelCol="4"/>
  <cols>
    <col min="1" max="1" width="6.25" customWidth="1"/>
    <col min="2" max="2" width="20.375" customWidth="1"/>
    <col min="3" max="4" width="4.625" customWidth="1"/>
    <col min="5" max="5" width="4.875" customWidth="1"/>
  </cols>
  <sheetData>
    <row r="1" ht="16.5" spans="1:5">
      <c r="A1" s="1" t="s">
        <v>0</v>
      </c>
      <c r="B1" s="2"/>
      <c r="C1" s="2"/>
      <c r="D1" s="2"/>
      <c r="E1" s="2"/>
    </row>
    <row r="2" ht="16.5" spans="1:5">
      <c r="A2" s="3" t="s">
        <v>1</v>
      </c>
      <c r="B2" s="4" t="s">
        <v>2</v>
      </c>
      <c r="C2" s="5" t="s">
        <v>3</v>
      </c>
      <c r="D2" s="6" t="s">
        <v>4</v>
      </c>
      <c r="E2" s="4" t="s">
        <v>5</v>
      </c>
    </row>
    <row r="3" ht="16.5" spans="1:5">
      <c r="A3" s="7" t="s">
        <v>6</v>
      </c>
      <c r="B3" s="8" t="s">
        <v>7</v>
      </c>
      <c r="C3" s="9" t="str">
        <f>IF(OR(LEN(B3)=15,LEN(B3)=18),IF(MOD(MID(B3,15,3)*1,2),"男","女"),#N/A)</f>
        <v>女</v>
      </c>
      <c r="D3" s="10" cm="1">
        <f ca="1" t="array" ref="D3">_xlfn.IFS(LEN(B3)=15,DATEDIF(TEXT("19"&amp;MID(B3,7,6),"0-00-00"),TODAY(),"y"),LEN(B3)=18,DATEDIF(TEXT(MID(B3,7,8),"0-00-00"),TODAY(),"y"),TRUE,"身份证错误")</f>
        <v>40</v>
      </c>
      <c r="E3" s="11"/>
    </row>
    <row r="4" ht="16.5" spans="1:5">
      <c r="A4" s="12" t="s">
        <v>8</v>
      </c>
      <c r="B4" s="12" t="s">
        <v>9</v>
      </c>
      <c r="C4" s="9" t="str">
        <f t="shared" ref="C4:C18" si="0">IF(OR(LEN(B4)=15,LEN(B4)=18),IF(MOD(MID(B4,15,3)*1,2),"男","女"),#N/A)</f>
        <v>女</v>
      </c>
      <c r="D4" s="10" cm="1">
        <f ca="1" t="array" ref="D4">_xlfn.IFS(LEN(B4)=15,DATEDIF(TEXT("19"&amp;MID(B4,7,6),"0-00-00"),TODAY(),"y"),LEN(B4)=18,DATEDIF(TEXT(MID(B4,7,8),"0-00-00"),TODAY(),"y"),TRUE,"身份证错误")</f>
        <v>27</v>
      </c>
      <c r="E4" s="13"/>
    </row>
    <row r="5" ht="16.5" spans="1:5">
      <c r="A5" s="12" t="s">
        <v>10</v>
      </c>
      <c r="B5" s="8" t="s">
        <v>11</v>
      </c>
      <c r="C5" s="9" t="str">
        <f t="shared" si="0"/>
        <v>男</v>
      </c>
      <c r="D5" s="10" cm="1">
        <f ca="1" t="array" ref="D5">_xlfn.IFS(LEN(B5)=15,DATEDIF(TEXT("19"&amp;MID(B5,7,6),"0-00-00"),TODAY(),"y"),LEN(B5)=18,DATEDIF(TEXT(MID(B5,7,8),"0-00-00"),TODAY(),"y"),TRUE,"身份证错误")</f>
        <v>29</v>
      </c>
      <c r="E5" s="13"/>
    </row>
    <row r="6" ht="16.5" spans="1:5">
      <c r="A6" s="12" t="s">
        <v>12</v>
      </c>
      <c r="B6" s="8" t="s">
        <v>13</v>
      </c>
      <c r="C6" s="9" t="str">
        <f t="shared" si="0"/>
        <v>女</v>
      </c>
      <c r="D6" s="10" cm="1">
        <f ca="1" t="array" ref="D6">_xlfn.IFS(LEN(B6)=15,DATEDIF(TEXT("19"&amp;MID(B6,7,6),"0-00-00"),TODAY(),"y"),LEN(B6)=18,DATEDIF(TEXT(MID(B6,7,8),"0-00-00"),TODAY(),"y"),TRUE,"身份证错误")</f>
        <v>24</v>
      </c>
      <c r="E6" s="13"/>
    </row>
    <row r="7" ht="16.5" spans="1:5">
      <c r="A7" s="12" t="s">
        <v>14</v>
      </c>
      <c r="B7" s="12" t="s">
        <v>15</v>
      </c>
      <c r="C7" s="9" t="str">
        <f t="shared" si="0"/>
        <v>男</v>
      </c>
      <c r="D7" s="10" cm="1">
        <f ca="1" t="array" ref="D7">_xlfn.IFS(LEN(B7)=15,DATEDIF(TEXT("19"&amp;MID(B7,7,6),"0-00-00"),TODAY(),"y"),LEN(B7)=18,DATEDIF(TEXT(MID(B7,7,8),"0-00-00"),TODAY(),"y"),TRUE,"身份证错误")</f>
        <v>29</v>
      </c>
      <c r="E7" s="13"/>
    </row>
    <row r="8" ht="16.5" spans="1:5">
      <c r="A8" s="12" t="s">
        <v>16</v>
      </c>
      <c r="B8" s="8" t="s">
        <v>17</v>
      </c>
      <c r="C8" s="9" t="str">
        <f t="shared" si="0"/>
        <v>男</v>
      </c>
      <c r="D8" s="10" cm="1">
        <f ca="1" t="array" ref="D8">_xlfn.IFS(LEN(B8)=15,DATEDIF(TEXT("19"&amp;MID(B8,7,6),"0-00-00"),TODAY(),"y"),LEN(B8)=18,DATEDIF(TEXT(MID(B8,7,8),"0-00-00"),TODAY(),"y"),TRUE,"身份证错误")</f>
        <v>31</v>
      </c>
      <c r="E8" s="13"/>
    </row>
    <row r="9" ht="16.5" spans="1:5">
      <c r="A9" s="12" t="s">
        <v>18</v>
      </c>
      <c r="B9" s="8" t="s">
        <v>19</v>
      </c>
      <c r="C9" s="9" t="str">
        <f t="shared" si="0"/>
        <v>女</v>
      </c>
      <c r="D9" s="10" cm="1">
        <f ca="1" t="array" ref="D9">_xlfn.IFS(LEN(B9)=15,DATEDIF(TEXT("19"&amp;MID(B9,7,6),"0-00-00"),TODAY(),"y"),LEN(B9)=18,DATEDIF(TEXT(MID(B9,7,8),"0-00-00"),TODAY(),"y"),TRUE,"身份证错误")</f>
        <v>29</v>
      </c>
      <c r="E9" s="13"/>
    </row>
    <row r="10" ht="16.5" spans="1:5">
      <c r="A10" s="12" t="s">
        <v>20</v>
      </c>
      <c r="B10" s="8" t="s">
        <v>21</v>
      </c>
      <c r="C10" s="9" t="str">
        <f t="shared" si="0"/>
        <v>女</v>
      </c>
      <c r="D10" s="10" cm="1">
        <f ca="1" t="array" ref="D10">_xlfn.IFS(LEN(B10)=15,DATEDIF(TEXT("19"&amp;MID(B10,7,6),"0-00-00"),TODAY(),"y"),LEN(B10)=18,DATEDIF(TEXT(MID(B10,7,8),"0-00-00"),TODAY(),"y"),TRUE,"身份证错误")</f>
        <v>21</v>
      </c>
      <c r="E10" s="13"/>
    </row>
    <row r="11" ht="16.5" spans="1:5">
      <c r="A11" s="12" t="s">
        <v>22</v>
      </c>
      <c r="B11" s="12" t="s">
        <v>23</v>
      </c>
      <c r="C11" s="9" t="str">
        <f t="shared" si="0"/>
        <v>女</v>
      </c>
      <c r="D11" s="10" cm="1">
        <f ca="1" t="array" ref="D11">_xlfn.IFS(LEN(B11)=15,DATEDIF(TEXT("19"&amp;MID(B11,7,6),"0-00-00"),TODAY(),"y"),LEN(B11)=18,DATEDIF(TEXT(MID(B11,7,8),"0-00-00"),TODAY(),"y"),TRUE,"身份证错误")</f>
        <v>40</v>
      </c>
      <c r="E11" s="13"/>
    </row>
    <row r="12" ht="16.5" spans="1:5">
      <c r="A12" s="12" t="s">
        <v>24</v>
      </c>
      <c r="B12" s="8" t="s">
        <v>25</v>
      </c>
      <c r="C12" s="9" t="str">
        <f t="shared" si="0"/>
        <v>女</v>
      </c>
      <c r="D12" s="10" cm="1">
        <f ca="1" t="array" ref="D12">_xlfn.IFS(LEN(B12)=15,DATEDIF(TEXT("19"&amp;MID(B12,7,6),"0-00-00"),TODAY(),"y"),LEN(B12)=18,DATEDIF(TEXT(MID(B12,7,8),"0-00-00"),TODAY(),"y"),TRUE,"身份证错误")</f>
        <v>27</v>
      </c>
      <c r="E12" s="13"/>
    </row>
    <row r="13" ht="16.5" spans="1:5">
      <c r="A13" s="12" t="s">
        <v>26</v>
      </c>
      <c r="B13" s="8" t="s">
        <v>11</v>
      </c>
      <c r="C13" s="9" t="str">
        <f t="shared" si="0"/>
        <v>男</v>
      </c>
      <c r="D13" s="10" cm="1">
        <f ca="1" t="array" ref="D13">_xlfn.IFS(LEN(B13)=15,DATEDIF(TEXT("19"&amp;MID(B13,7,6),"0-00-00"),TODAY(),"y"),LEN(B13)=18,DATEDIF(TEXT(MID(B13,7,8),"0-00-00"),TODAY(),"y"),TRUE,"身份证错误")</f>
        <v>29</v>
      </c>
      <c r="E13" s="13"/>
    </row>
    <row r="14" ht="16.5" spans="1:5">
      <c r="A14" s="12" t="s">
        <v>27</v>
      </c>
      <c r="B14" s="8" t="s">
        <v>13</v>
      </c>
      <c r="C14" s="9" t="str">
        <f t="shared" si="0"/>
        <v>女</v>
      </c>
      <c r="D14" s="10" cm="1">
        <f ca="1" t="array" ref="D14">_xlfn.IFS(LEN(B14)=15,DATEDIF(TEXT("19"&amp;MID(B14,7,6),"0-00-00"),TODAY(),"y"),LEN(B14)=18,DATEDIF(TEXT(MID(B14,7,8),"0-00-00"),TODAY(),"y"),TRUE,"身份证错误")</f>
        <v>24</v>
      </c>
      <c r="E14" s="13"/>
    </row>
    <row r="15" ht="16.5" spans="1:5">
      <c r="A15" s="12" t="s">
        <v>28</v>
      </c>
      <c r="B15" s="12" t="s">
        <v>15</v>
      </c>
      <c r="C15" s="9" t="str">
        <f t="shared" si="0"/>
        <v>男</v>
      </c>
      <c r="D15" s="10" cm="1">
        <f ca="1" t="array" ref="D15">_xlfn.IFS(LEN(B15)=15,DATEDIF(TEXT("19"&amp;MID(B15,7,6),"0-00-00"),TODAY(),"y"),LEN(B15)=18,DATEDIF(TEXT(MID(B15,7,8),"0-00-00"),TODAY(),"y"),TRUE,"身份证错误")</f>
        <v>29</v>
      </c>
      <c r="E15" s="13"/>
    </row>
    <row r="16" ht="16.5" spans="1:5">
      <c r="A16" s="12" t="s">
        <v>29</v>
      </c>
      <c r="B16" s="8" t="s">
        <v>17</v>
      </c>
      <c r="C16" s="9" t="str">
        <f t="shared" si="0"/>
        <v>男</v>
      </c>
      <c r="D16" s="10" cm="1">
        <f ca="1" t="array" ref="D16">_xlfn.IFS(LEN(B16)=15,DATEDIF(TEXT("19"&amp;MID(B16,7,6),"0-00-00"),TODAY(),"y"),LEN(B16)=18,DATEDIF(TEXT(MID(B16,7,8),"0-00-00"),TODAY(),"y"),TRUE,"身份证错误")</f>
        <v>31</v>
      </c>
      <c r="E16" s="13"/>
    </row>
    <row r="17" ht="16.5" spans="1:5">
      <c r="A17" s="12" t="s">
        <v>30</v>
      </c>
      <c r="B17" s="8" t="s">
        <v>19</v>
      </c>
      <c r="C17" s="9" t="str">
        <f t="shared" si="0"/>
        <v>女</v>
      </c>
      <c r="D17" s="10" cm="1">
        <f ca="1" t="array" ref="D17">_xlfn.IFS(LEN(B17)=15,DATEDIF(TEXT("19"&amp;MID(B17,7,6),"0-00-00"),TODAY(),"y"),LEN(B17)=18,DATEDIF(TEXT(MID(B17,7,8),"0-00-00"),TODAY(),"y"),TRUE,"身份证错误")</f>
        <v>29</v>
      </c>
      <c r="E17" s="13"/>
    </row>
    <row r="18" ht="16.5" spans="1:5">
      <c r="A18" s="12" t="s">
        <v>31</v>
      </c>
      <c r="B18" s="12" t="s">
        <v>21</v>
      </c>
      <c r="C18" s="9" t="str">
        <f t="shared" si="0"/>
        <v>女</v>
      </c>
      <c r="D18" s="10" cm="1">
        <f ca="1" t="array" ref="D18">_xlfn.IFS(LEN(B18)=15,DATEDIF(TEXT("19"&amp;MID(B18,7,6),"0-00-00"),TODAY(),"y"),LEN(B18)=18,DATEDIF(TEXT(MID(B18,7,8),"0-00-00"),TODAY(),"y"),TRUE,"身份证错误")</f>
        <v>21</v>
      </c>
      <c r="E18" s="13"/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2025-12-10T10:31:18Z</dcterms:created>
  <dcterms:modified xsi:type="dcterms:W3CDTF">2025-12-10T10:34:43Z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BDC26E23338B4FDBA7E38838D0FC4702_11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